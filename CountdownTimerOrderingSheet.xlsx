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ountdownTimer\"/>
    </mc:Choice>
  </mc:AlternateContent>
  <xr:revisionPtr revIDLastSave="0" documentId="13_ncr:1_{105B6D74-C878-4178-845E-0A5B146085AD}" xr6:coauthVersionLast="47" xr6:coauthVersionMax="47" xr10:uidLastSave="{00000000-0000-0000-0000-000000000000}"/>
  <bookViews>
    <workbookView xWindow="-108" yWindow="-108" windowWidth="23256" windowHeight="12456" activeTab="1" xr2:uid="{D59DF1DE-ABDC-4A43-B66D-ED7965F5EA18}"/>
  </bookViews>
  <sheets>
    <sheet name="OrderingList" sheetId="1" r:id="rId1"/>
    <sheet name="Parts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J2" i="2"/>
  <c r="I2" i="1"/>
  <c r="F24" i="1"/>
  <c r="F25" i="1"/>
  <c r="F26" i="1"/>
  <c r="F27" i="1"/>
  <c r="F22" i="1"/>
  <c r="F23" i="1"/>
  <c r="F19" i="1"/>
  <c r="F20" i="1"/>
  <c r="F21" i="1"/>
  <c r="F17" i="1"/>
  <c r="F18" i="1"/>
  <c r="F15" i="1"/>
  <c r="F16" i="1"/>
  <c r="F13" i="1"/>
  <c r="F14" i="1"/>
  <c r="F9" i="1"/>
  <c r="F10" i="1"/>
  <c r="F11" i="1"/>
  <c r="F1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<sst xmlns="http://schemas.openxmlformats.org/spreadsheetml/2006/main" count="108" uniqueCount="97">
  <si>
    <t>Name</t>
  </si>
  <si>
    <t>Description</t>
  </si>
  <si>
    <t>Designator</t>
  </si>
  <si>
    <t>Quantity</t>
  </si>
  <si>
    <t>MFG PN</t>
  </si>
  <si>
    <t>Cost per Unit</t>
  </si>
  <si>
    <t>Price</t>
  </si>
  <si>
    <t>Link</t>
  </si>
  <si>
    <t>ESP32 C3</t>
  </si>
  <si>
    <t>https://www.digikey.com/en/products/detail/espressif-systems/ESP32-C3-WROOM-02-N4/14553031</t>
  </si>
  <si>
    <t>MCU</t>
  </si>
  <si>
    <t>ESP32-C3-WROOM-02-N4</t>
  </si>
  <si>
    <t>3.3V LDO</t>
  </si>
  <si>
    <t>TLV1117LV33DCYR</t>
  </si>
  <si>
    <t>TLV1117LV33</t>
  </si>
  <si>
    <t>https://www.digikey.com/en/products/detail/texas-instruments/TLV1117LV33DCYR/2666508</t>
  </si>
  <si>
    <t>0603 1u Cap</t>
  </si>
  <si>
    <t>12V-5V DCDC</t>
  </si>
  <si>
    <t>12V-5V DCDC, 0.5A, 6W</t>
  </si>
  <si>
    <t>https://www.digikey.com/en/products/detail/recom-power/R-78E5-0-1-0/4930585</t>
  </si>
  <si>
    <t>R-78E5.0-1.0</t>
  </si>
  <si>
    <t>0805 10u Cap</t>
  </si>
  <si>
    <t>https://www.digikey.com/en/products/detail/samsung-electro-mechanics/CL21A106KOFNNNE/3888551</t>
  </si>
  <si>
    <t>CL21A106KOFNNNE</t>
  </si>
  <si>
    <t xml:space="preserve">10%, 16V, MLCC </t>
  </si>
  <si>
    <t>USB-UART Bridge</t>
  </si>
  <si>
    <t>MMBT4401-7-F</t>
  </si>
  <si>
    <t>NPN Transistor</t>
  </si>
  <si>
    <t>40V, 0.6A</t>
  </si>
  <si>
    <t>https://www.digikey.com/en/products/detail/diodes-incorporated/MMBT4401-7-F/775841</t>
  </si>
  <si>
    <t>https://www.digikey.com/en/products/detail/silicon-labs/CP2102N-A02-GQFN28R/9863480</t>
  </si>
  <si>
    <t>CP2102N-A02-GQFN28R</t>
  </si>
  <si>
    <t>USB-C Receptacle</t>
  </si>
  <si>
    <t>https://www.digikey.com/en/products/detail/amphenol-cs-commercial-products/12401610E4-2A/5775519</t>
  </si>
  <si>
    <t>12401610E4#2A</t>
  </si>
  <si>
    <t>TVS Diode</t>
  </si>
  <si>
    <t>19.9VC</t>
  </si>
  <si>
    <t>https://www.digikey.com/en/products/detail/littelfuse-inc/SMAJ12CA/762271</t>
  </si>
  <si>
    <t>SMAJ12CA</t>
  </si>
  <si>
    <t>Schottky Diode</t>
  </si>
  <si>
    <t>40V, 1A</t>
  </si>
  <si>
    <t>https://www.digikey.com/en/products/detail/diodes-incorporated/1N5819HW-7-F/814970</t>
  </si>
  <si>
    <t>1N5819HW-7-F</t>
  </si>
  <si>
    <t>https://www.digikey.com/en/products/detail/c-k/KMR213G-LFG/2176540</t>
  </si>
  <si>
    <t>SPST Push Button</t>
  </si>
  <si>
    <t>KMR213G LFG</t>
  </si>
  <si>
    <t>TLC5916IDR</t>
  </si>
  <si>
    <t>Shift Registers, Current Sink</t>
  </si>
  <si>
    <t>LED Driver, 8-Ch</t>
  </si>
  <si>
    <t>https://www.digikey.com/en/products/detail/texas-instruments/TLC5916IDR/1726504</t>
  </si>
  <si>
    <t>Red LEDs</t>
  </si>
  <si>
    <t>https://www.digikey.com/en/products/detail/same-sky-formerly-cui-devices/PJ-063AH/2161208</t>
  </si>
  <si>
    <t>12VDC Barrel Jack Receptacle</t>
  </si>
  <si>
    <t>PJ-063AH</t>
  </si>
  <si>
    <t>Black FR4</t>
  </si>
  <si>
    <t>https://www.amazon.com/gp/product/B0G6F9HTTK/ref=ewc_pr_img_2?smid=A3D5GC7GV7VRAI&amp;psc=1</t>
  </si>
  <si>
    <t>2mm thick, 30cm x 17cm</t>
  </si>
  <si>
    <t>Perf board</t>
  </si>
  <si>
    <t>https://www.amazon.com/gp/product/B0DBZ1BXFZ/ref=ewc_pr_img_2?smid=A1Z1ENBD0KSZ4W&amp;psc=1</t>
  </si>
  <si>
    <t>PCB headers</t>
  </si>
  <si>
    <t>https://www.amazon.com/gp/product/B0774VBJ3J/ref=ewc_pr_img_1?smid=A3AX24NME6J6T3&amp;th=1</t>
  </si>
  <si>
    <t>Variety</t>
  </si>
  <si>
    <t>https://www.digikey.com/en/products/detail/bourns-inc/SF-0603FP300-2/6153649</t>
  </si>
  <si>
    <t>0603 3A Fuse</t>
  </si>
  <si>
    <t>SF-0603FP300-2</t>
  </si>
  <si>
    <t>amazon.com/gp/product/B01GEA8PQA/ref=ox_sc_act_title_1?smid=AA0YO4F2UD50F&amp;psc=1</t>
  </si>
  <si>
    <t>12V Wall Adapter</t>
  </si>
  <si>
    <t>https://www.digikey.com/en/products/detail/samsung-electro-mechanics/CL10B105KO8NNNC/3886677</t>
  </si>
  <si>
    <t>CL10B105KO8NNNC</t>
  </si>
  <si>
    <t>0603 0 Res</t>
  </si>
  <si>
    <t>1/10W</t>
  </si>
  <si>
    <t>https://www.digikey.com/en/products/detail/yageo/RC0603JR-070RL/726675</t>
  </si>
  <si>
    <t>0603 10k Res</t>
  </si>
  <si>
    <t>0603 0.1u Cap</t>
  </si>
  <si>
    <t>0603 1k Res</t>
  </si>
  <si>
    <t>0603 22.1k Res</t>
  </si>
  <si>
    <t>0603 47.5k Res</t>
  </si>
  <si>
    <t>https://www.digikey.com/en/products/detail/yageo/RC0603FR-0710KL/726880</t>
  </si>
  <si>
    <t>https://www.digikey.com/en/products/detail/samsung-electro-mechanics/CL10B104KO8NNNC/3886663</t>
  </si>
  <si>
    <t>16V</t>
  </si>
  <si>
    <t>https://www.digikey.com/en/products/detail/vishay-dale/CRCW06031K00FKEA/1174668</t>
  </si>
  <si>
    <t>1/8W</t>
  </si>
  <si>
    <t>https://www.digikey.com/en/products/detail/yageo/RC0603FR-0722K1L/727058</t>
  </si>
  <si>
    <t>https://www.digikey.com/en/products/detail/stackpole-electronics-inc/RMCF0603FT47K5/1761143</t>
  </si>
  <si>
    <t>0805 1.2k Res</t>
  </si>
  <si>
    <t>Current limiting resistor</t>
  </si>
  <si>
    <t>https://www.digikey.com/en/products/detail/yageo/RC0805FR-071K2L/727466</t>
  </si>
  <si>
    <t>RC0603JR-070RL</t>
  </si>
  <si>
    <t>RC0603FR-0710KL</t>
  </si>
  <si>
    <t>CL10B104KO8NNNC</t>
  </si>
  <si>
    <t>CRCW06031K00FKEA</t>
  </si>
  <si>
    <t>RC0603FR-0722K1L</t>
  </si>
  <si>
    <t>RMCF0603FT47K5</t>
  </si>
  <si>
    <t>RC0805FR-071K2L</t>
  </si>
  <si>
    <t>Packs of 100</t>
  </si>
  <si>
    <t>https://www.amazon.com/dp/B077X95F7C?ref=ppx_yo2ov_dt_b_fed_asin_title&amp;th=1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</si>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</sst>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164" fontId="0" fillId="0" borderId="0" xfId="1" applyNumberFormat="1" applyFont="1"/>
    <xf numFmtId="0" fontId="0" fillId="0" borderId="0" xfId="0" applyFill="1"/>
    <xf numFmtId="164" fontId="0" fillId="0" borderId="0" xfId="1" applyNumberFormat="1" applyFont="1" applyFill="1"/>
    <xf numFmtId="0" fontId="2" fillId="0" borderId="0" xfId="2" applyFill="1"/>
    <xf numFmtId="0" fontId="3" fillId="0" borderId="0" xfId="0" applyFont="1"/>
    <xf numFmtId="164" fontId="3" fillId="2" borderId="0" xfId="0" applyNumberFormat="1" applyFont="1" applyFill="1"/>
  </cellXfs>
  <cellStyles count="3">
    <cellStyle name="Currency" xfId="1" builtinId="4"/>
    <cellStyle name="Hyperlink" xfId="2" builtinId="8"/>
    <cellStyle name="Normal" xfId="0" builtinId="0"/>
  </cellStyles>
  <dxfs count="3">
    <dxf>
      <numFmt numFmtId="0" formatCode="General"/>
    </dxf>
    <dxf>
      <numFmt numFmtId="164" formatCode="_(&quot;$&quot;* #,##0.000_);_(&quot;$&quot;* \(#,##0.000\);_(&quot;$&quot;* &quot;-&quot;??_);_(@_)"/>
    </dxf>
    <dxf>
      <numFmt numFmtId="164" formatCode="_(&quot;$&quot;* #,##0.000_);_(&quot;$&quot;* \(#,##0.0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449FD-20D1-498D-8AD9-A23E120DCE06}" name="Table2" displayName="Table2" ref="A1:G27" totalsRowShown="0">
  <autoFilter ref="A1:G27" xr:uid="{333449FD-20D1-498D-8AD9-A23E120DCE06}"/>
  <tableColumns count="7">
    <tableColumn id="1" xr3:uid="{6105183F-F09D-4DCF-8C0C-704272A23271}" name="Name"/>
    <tableColumn id="2" xr3:uid="{65C6FB84-6137-4826-90CD-38526EAAE758}" name="Description"/>
    <tableColumn id="4" xr3:uid="{028B634B-9F6F-4226-AC47-D18D282E6DA6}" name="Quantity"/>
    <tableColumn id="5" xr3:uid="{FBAE5A30-4D8D-4E9B-8845-59D8521EA0BF}" name="MFG PN"/>
    <tableColumn id="6" xr3:uid="{A95464F8-E659-4888-9895-69B9E2B6CCD2}" name="Cost per Unit" dataDxfId="2" dataCellStyle="Currency"/>
    <tableColumn id="7" xr3:uid="{A9D8358D-2F86-44C8-8166-286F2A860D34}" name="Price" dataDxfId="1" dataCellStyle="Currency">
      <calculatedColumnFormula>SUMPRODUCT(C2,E2)</calculatedColumnFormula>
    </tableColumn>
    <tableColumn id="8" xr3:uid="{EBC19666-CD49-4492-9AE3-7DF218484BB7}" name="Link" dataCellStyle="Hyperlink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7A287-59D0-4F68-BD1A-D32F14F1A529}" name="Table1" displayName="Table1" ref="A1:H9" totalsRowShown="0">
  <autoFilter ref="A1:H9" xr:uid="{F857A287-59D0-4F68-BD1A-D32F14F1A529}"/>
  <tableColumns count="8">
    <tableColumn id="1" xr3:uid="{3D509BE8-0115-4322-8C5D-C7A88958B5DE}" name="Name"/>
    <tableColumn id="2" xr3:uid="{4D6AAFFF-ACD0-44D0-96F0-68EB63D7CD94}" name="Description"/>
    <tableColumn id="3" xr3:uid="{5BA1EDC1-AB40-41C2-8B31-A5169E968A6E}" name="Designator"/>
    <tableColumn id="4" xr3:uid="{EB6A6A3D-FF1A-4F2E-BB01-12BB73A41825}" name="Quantity"/>
    <tableColumn id="5" xr3:uid="{D7811BD9-87DF-4AF8-804E-CAC7A849FE02}" name="MFG PN"/>
    <tableColumn id="6" xr3:uid="{E459DA26-3AAF-4EB6-BEEC-FF38BE7F159B}" name="Cost per Unit"/>
    <tableColumn id="7" xr3:uid="{EA7AB3BC-4118-42F9-B65F-CF63CD01D276}" name="Price" dataDxfId="0">
      <calculatedColumnFormula>SUMPRODUCT(D2,F2)</calculatedColumnFormula>
    </tableColumn>
    <tableColumn id="8" xr3:uid="{EAD75D3C-2E4B-403F-BF6D-96A64A450350}" name="Link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littelfuse-inc/SMAJ12CA/762271" TargetMode="External"/><Relationship Id="rId13" Type="http://schemas.openxmlformats.org/officeDocument/2006/relationships/hyperlink" Target="https://www.amazon.com/gp/product/B0G6F9HTTK/ref=ewc_pr_img_2?smid=A3D5GC7GV7VRAI&amp;psc=1" TargetMode="External"/><Relationship Id="rId18" Type="http://schemas.openxmlformats.org/officeDocument/2006/relationships/hyperlink" Target="https://www.digikey.com/en/products/detail/samsung-electro-mechanics/CL10B105KO8NNNC/3886677" TargetMode="External"/><Relationship Id="rId26" Type="http://schemas.openxmlformats.org/officeDocument/2006/relationships/hyperlink" Target="https://www.amazon.com/dp/B077X95F7C?ref=ppx_yo2ov_dt_b_fed_asin_title&amp;th=1" TargetMode="External"/><Relationship Id="rId3" Type="http://schemas.openxmlformats.org/officeDocument/2006/relationships/hyperlink" Target="https://www.digikey.com/en/products/detail/recom-power/R-78E5-0-1-0/4930585" TargetMode="External"/><Relationship Id="rId21" Type="http://schemas.openxmlformats.org/officeDocument/2006/relationships/hyperlink" Target="https://www.digikey.com/en/products/detail/samsung-electro-mechanics/CL10B104KO8NNNC/3886663" TargetMode="External"/><Relationship Id="rId7" Type="http://schemas.openxmlformats.org/officeDocument/2006/relationships/hyperlink" Target="https://www.digikey.com/en/products/detail/amphenol-cs-commercial-products/12401610E4-2A/5775519" TargetMode="External"/><Relationship Id="rId12" Type="http://schemas.openxmlformats.org/officeDocument/2006/relationships/hyperlink" Target="https://www.digikey.com/en/products/detail/texas-instruments/TLC5916IDR/1726504" TargetMode="External"/><Relationship Id="rId17" Type="http://schemas.openxmlformats.org/officeDocument/2006/relationships/hyperlink" Target="amazon.com/gp/product/B01GEA8PQA/ref=ox_sc_act_title_1?smid=AA0YO4F2UD50F&amp;psc=1" TargetMode="External"/><Relationship Id="rId25" Type="http://schemas.openxmlformats.org/officeDocument/2006/relationships/hyperlink" Target="https://www.digikey.com/en/products/detail/yageo/RC0805FR-071K2L/727466" TargetMode="External"/><Relationship Id="rId2" Type="http://schemas.openxmlformats.org/officeDocument/2006/relationships/hyperlink" Target="https://www.digikey.com/en/products/detail/texas-instruments/TLV1117LV33DCYR/2666508" TargetMode="External"/><Relationship Id="rId16" Type="http://schemas.openxmlformats.org/officeDocument/2006/relationships/hyperlink" Target="https://www.digikey.com/en/products/detail/bourns-inc/SF-0603FP300-2/6153649" TargetMode="External"/><Relationship Id="rId20" Type="http://schemas.openxmlformats.org/officeDocument/2006/relationships/hyperlink" Target="https://www.digikey.com/en/products/detail/yageo/RC0603FR-0710KL/726880" TargetMode="External"/><Relationship Id="rId1" Type="http://schemas.openxmlformats.org/officeDocument/2006/relationships/hyperlink" Target="https://www.digikey.com/en/products/detail/espressif-systems/ESP32-C3-WROOM-02-N4/14553031" TargetMode="External"/><Relationship Id="rId6" Type="http://schemas.openxmlformats.org/officeDocument/2006/relationships/hyperlink" Target="https://www.digikey.com/en/products/detail/silicon-labs/CP2102N-A02-GQFN28R/9863480" TargetMode="External"/><Relationship Id="rId11" Type="http://schemas.openxmlformats.org/officeDocument/2006/relationships/hyperlink" Target="https://www.digikey.com/en/products/detail/same-sky-formerly-cui-devices/PJ-063AH/2161208" TargetMode="External"/><Relationship Id="rId24" Type="http://schemas.openxmlformats.org/officeDocument/2006/relationships/hyperlink" Target="https://www.digikey.com/en/products/detail/stackpole-electronics-inc/RMCF0603FT47K5/1761143" TargetMode="External"/><Relationship Id="rId5" Type="http://schemas.openxmlformats.org/officeDocument/2006/relationships/hyperlink" Target="https://www.digikey.com/en/products/detail/diodes-incorporated/MMBT4401-7-F/775841" TargetMode="External"/><Relationship Id="rId15" Type="http://schemas.openxmlformats.org/officeDocument/2006/relationships/hyperlink" Target="https://www.amazon.com/gp/product/B0774VBJ3J/ref=ewc_pr_img_1?smid=A3AX24NME6J6T3&amp;th=1" TargetMode="External"/><Relationship Id="rId23" Type="http://schemas.openxmlformats.org/officeDocument/2006/relationships/hyperlink" Target="https://www.digikey.com/en/products/detail/yageo/RC0603FR-0722K1L/727058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digikey.com/en/products/detail/c-k/KMR213G-LFG/2176540" TargetMode="External"/><Relationship Id="rId19" Type="http://schemas.openxmlformats.org/officeDocument/2006/relationships/hyperlink" Target="https://www.digikey.com/en/products/detail/yageo/RC0603JR-070RL/726675" TargetMode="External"/><Relationship Id="rId4" Type="http://schemas.openxmlformats.org/officeDocument/2006/relationships/hyperlink" Target="https://www.digikey.com/en/products/detail/samsung-electro-mechanics/CL21A106KOFNNNE/3888551" TargetMode="External"/><Relationship Id="rId9" Type="http://schemas.openxmlformats.org/officeDocument/2006/relationships/hyperlink" Target="https://www.digikey.com/en/products/detail/diodes-incorporated/1N5819HW-7-F/814970" TargetMode="External"/><Relationship Id="rId14" Type="http://schemas.openxmlformats.org/officeDocument/2006/relationships/hyperlink" Target="https://www.amazon.com/gp/product/B0DBZ1BXFZ/ref=ewc_pr_img_2?smid=A1Z1ENBD0KSZ4W&amp;psc=1" TargetMode="External"/><Relationship Id="rId22" Type="http://schemas.openxmlformats.org/officeDocument/2006/relationships/hyperlink" Target="https://www.digikey.com/en/products/detail/vishay-dale/CRCW06031K00FKEA/1174668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A5C2-3789-4253-A583-36072767155A}">
  <dimension ref="A1:I27"/>
  <sheetViews>
    <sheetView workbookViewId="0">
      <selection activeCell="F2" sqref="F2"/>
    </sheetView>
  </sheetViews>
  <sheetFormatPr defaultRowHeight="14.4" x14ac:dyDescent="0.3"/>
  <cols>
    <col min="1" max="1" width="25.5546875" bestFit="1" customWidth="1"/>
    <col min="2" max="2" width="23.33203125" bestFit="1" customWidth="1"/>
    <col min="3" max="3" width="10.33203125" bestFit="1" customWidth="1"/>
    <col min="4" max="4" width="22.5546875" bestFit="1" customWidth="1"/>
    <col min="5" max="5" width="15.33203125" bestFit="1" customWidth="1"/>
    <col min="6" max="6" width="8.88671875" style="2" bestFit="1" customWidth="1"/>
    <col min="7" max="7" width="89.109375" style="2" bestFit="1" customWidth="1"/>
    <col min="8" max="8" width="7.21875" customWidth="1"/>
    <col min="9" max="10" width="9.88671875" bestFit="1" customWidth="1"/>
  </cols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s="2" t="s">
        <v>5</v>
      </c>
      <c r="F1" s="2" t="s">
        <v>6</v>
      </c>
      <c r="G1" t="s">
        <v>7</v>
      </c>
      <c r="I1" s="6" t="s">
        <v>96</v>
      </c>
    </row>
    <row r="2" spans="1:9" x14ac:dyDescent="0.3">
      <c r="A2" t="s">
        <v>8</v>
      </c>
      <c r="B2" t="s">
        <v>10</v>
      </c>
      <c r="C2">
        <v>2</v>
      </c>
      <c r="D2" t="s">
        <v>11</v>
      </c>
      <c r="E2" s="2">
        <v>3.38</v>
      </c>
      <c r="F2" s="2">
        <f>SUMPRODUCT(C2,E2)</f>
        <v>6.76</v>
      </c>
      <c r="G2" s="1" t="s">
        <v>9</v>
      </c>
      <c r="I2" s="7">
        <f>SUM(F:F)</f>
        <v>117.70999999999997</v>
      </c>
    </row>
    <row r="3" spans="1:9" x14ac:dyDescent="0.3">
      <c r="A3" s="3" t="s">
        <v>14</v>
      </c>
      <c r="B3" s="3" t="s">
        <v>12</v>
      </c>
      <c r="C3" s="3">
        <v>2</v>
      </c>
      <c r="D3" s="3" t="s">
        <v>13</v>
      </c>
      <c r="E3" s="4">
        <v>0.26</v>
      </c>
      <c r="F3" s="4">
        <f t="shared" ref="F3:F8" si="0">SUMPRODUCT(C3,E3)</f>
        <v>0.52</v>
      </c>
      <c r="G3" s="5" t="s">
        <v>15</v>
      </c>
    </row>
    <row r="4" spans="1:9" x14ac:dyDescent="0.3">
      <c r="A4" s="3" t="s">
        <v>16</v>
      </c>
      <c r="B4" s="3"/>
      <c r="C4" s="3">
        <v>15</v>
      </c>
      <c r="D4" s="3" t="s">
        <v>68</v>
      </c>
      <c r="E4" s="4">
        <v>3.6999999999999998E-2</v>
      </c>
      <c r="F4" s="4">
        <f t="shared" si="0"/>
        <v>0.55499999999999994</v>
      </c>
      <c r="G4" s="5" t="s">
        <v>67</v>
      </c>
    </row>
    <row r="5" spans="1:9" x14ac:dyDescent="0.3">
      <c r="A5" s="3" t="s">
        <v>17</v>
      </c>
      <c r="B5" s="3" t="s">
        <v>18</v>
      </c>
      <c r="C5" s="3">
        <v>2</v>
      </c>
      <c r="D5" s="3" t="s">
        <v>20</v>
      </c>
      <c r="E5" s="4">
        <v>3.97</v>
      </c>
      <c r="F5" s="4">
        <f t="shared" si="0"/>
        <v>7.94</v>
      </c>
      <c r="G5" s="5" t="s">
        <v>19</v>
      </c>
    </row>
    <row r="6" spans="1:9" x14ac:dyDescent="0.3">
      <c r="A6" s="3" t="s">
        <v>21</v>
      </c>
      <c r="B6" s="3" t="s">
        <v>24</v>
      </c>
      <c r="C6" s="3">
        <v>10</v>
      </c>
      <c r="D6" s="3" t="s">
        <v>23</v>
      </c>
      <c r="E6" s="4">
        <v>9.0999999999999998E-2</v>
      </c>
      <c r="F6" s="4">
        <f t="shared" si="0"/>
        <v>0.90999999999999992</v>
      </c>
      <c r="G6" s="5" t="s">
        <v>22</v>
      </c>
    </row>
    <row r="7" spans="1:9" x14ac:dyDescent="0.3">
      <c r="A7" s="3" t="s">
        <v>25</v>
      </c>
      <c r="B7" s="3"/>
      <c r="C7" s="3">
        <v>2</v>
      </c>
      <c r="D7" s="3" t="s">
        <v>31</v>
      </c>
      <c r="E7" s="4">
        <v>5.0999999999999996</v>
      </c>
      <c r="F7" s="4">
        <f t="shared" si="0"/>
        <v>10.199999999999999</v>
      </c>
      <c r="G7" s="5" t="s">
        <v>30</v>
      </c>
    </row>
    <row r="8" spans="1:9" x14ac:dyDescent="0.3">
      <c r="A8" s="3" t="s">
        <v>27</v>
      </c>
      <c r="B8" s="3" t="s">
        <v>28</v>
      </c>
      <c r="C8" s="3">
        <v>4</v>
      </c>
      <c r="D8" s="3" t="s">
        <v>26</v>
      </c>
      <c r="E8" s="4">
        <v>0.14000000000000001</v>
      </c>
      <c r="F8" s="4">
        <f t="shared" si="0"/>
        <v>0.56000000000000005</v>
      </c>
      <c r="G8" s="5" t="s">
        <v>29</v>
      </c>
    </row>
    <row r="9" spans="1:9" x14ac:dyDescent="0.3">
      <c r="A9" s="3" t="s">
        <v>32</v>
      </c>
      <c r="B9" s="3"/>
      <c r="C9" s="3">
        <v>2</v>
      </c>
      <c r="D9" s="3" t="s">
        <v>34</v>
      </c>
      <c r="E9" s="4">
        <v>1.35</v>
      </c>
      <c r="F9" s="4">
        <f t="shared" ref="F9:F12" si="1">SUMPRODUCT(C9,E9)</f>
        <v>2.7</v>
      </c>
      <c r="G9" s="5" t="s">
        <v>33</v>
      </c>
    </row>
    <row r="10" spans="1:9" x14ac:dyDescent="0.3">
      <c r="A10" s="3" t="s">
        <v>35</v>
      </c>
      <c r="B10" s="3" t="s">
        <v>36</v>
      </c>
      <c r="C10" s="3">
        <v>4</v>
      </c>
      <c r="D10" s="3" t="s">
        <v>38</v>
      </c>
      <c r="E10" s="4">
        <v>0.48</v>
      </c>
      <c r="F10" s="4">
        <f t="shared" si="1"/>
        <v>1.92</v>
      </c>
      <c r="G10" s="5" t="s">
        <v>37</v>
      </c>
    </row>
    <row r="11" spans="1:9" x14ac:dyDescent="0.3">
      <c r="A11" s="3" t="s">
        <v>39</v>
      </c>
      <c r="B11" s="3" t="s">
        <v>40</v>
      </c>
      <c r="C11" s="3">
        <v>2</v>
      </c>
      <c r="D11" s="3" t="s">
        <v>42</v>
      </c>
      <c r="E11" s="4">
        <v>0.28999999999999998</v>
      </c>
      <c r="F11" s="4">
        <f t="shared" si="1"/>
        <v>0.57999999999999996</v>
      </c>
      <c r="G11" s="5" t="s">
        <v>41</v>
      </c>
    </row>
    <row r="12" spans="1:9" x14ac:dyDescent="0.3">
      <c r="A12" s="3" t="s">
        <v>44</v>
      </c>
      <c r="B12" s="3"/>
      <c r="C12" s="3">
        <v>3</v>
      </c>
      <c r="D12" s="3" t="s">
        <v>45</v>
      </c>
      <c r="E12" s="4">
        <v>1.06</v>
      </c>
      <c r="F12" s="4">
        <f t="shared" si="1"/>
        <v>3.18</v>
      </c>
      <c r="G12" s="5" t="s">
        <v>43</v>
      </c>
    </row>
    <row r="13" spans="1:9" x14ac:dyDescent="0.3">
      <c r="A13" s="3" t="s">
        <v>48</v>
      </c>
      <c r="B13" s="3" t="s">
        <v>47</v>
      </c>
      <c r="C13" s="3">
        <v>10</v>
      </c>
      <c r="D13" s="3" t="s">
        <v>46</v>
      </c>
      <c r="E13" s="4">
        <v>1.0940000000000001</v>
      </c>
      <c r="F13" s="4">
        <f t="shared" ref="F13:F14" si="2">SUMPRODUCT(C13,E13)</f>
        <v>10.940000000000001</v>
      </c>
      <c r="G13" s="5" t="s">
        <v>49</v>
      </c>
    </row>
    <row r="14" spans="1:9" x14ac:dyDescent="0.3">
      <c r="A14" s="3" t="s">
        <v>50</v>
      </c>
      <c r="B14" s="3" t="s">
        <v>94</v>
      </c>
      <c r="C14" s="3">
        <v>3</v>
      </c>
      <c r="D14" s="3"/>
      <c r="E14" s="4">
        <v>6.99</v>
      </c>
      <c r="F14" s="4">
        <f t="shared" si="2"/>
        <v>20.97</v>
      </c>
      <c r="G14" s="5" t="s">
        <v>95</v>
      </c>
    </row>
    <row r="15" spans="1:9" x14ac:dyDescent="0.3">
      <c r="A15" s="3" t="s">
        <v>52</v>
      </c>
      <c r="B15" s="3"/>
      <c r="C15" s="3">
        <v>2</v>
      </c>
      <c r="D15" s="3" t="s">
        <v>53</v>
      </c>
      <c r="E15" s="4">
        <v>1.49</v>
      </c>
      <c r="F15" s="4">
        <f t="shared" ref="F15:F16" si="3">SUMPRODUCT(C15,E15)</f>
        <v>2.98</v>
      </c>
      <c r="G15" s="5" t="s">
        <v>51</v>
      </c>
    </row>
    <row r="16" spans="1:9" x14ac:dyDescent="0.3">
      <c r="A16" s="3" t="s">
        <v>54</v>
      </c>
      <c r="B16" s="3" t="s">
        <v>56</v>
      </c>
      <c r="C16" s="3">
        <v>1</v>
      </c>
      <c r="D16" s="3"/>
      <c r="E16" s="4">
        <v>8.99</v>
      </c>
      <c r="F16" s="4">
        <f t="shared" si="3"/>
        <v>8.99</v>
      </c>
      <c r="G16" s="5" t="s">
        <v>55</v>
      </c>
    </row>
    <row r="17" spans="1:7" x14ac:dyDescent="0.3">
      <c r="A17" s="3" t="s">
        <v>57</v>
      </c>
      <c r="B17" s="3" t="s">
        <v>61</v>
      </c>
      <c r="C17" s="3">
        <v>1</v>
      </c>
      <c r="D17" s="3"/>
      <c r="E17" s="4">
        <v>7.99</v>
      </c>
      <c r="F17" s="4">
        <f t="shared" ref="F17:F18" si="4">SUMPRODUCT(C17,E17)</f>
        <v>7.99</v>
      </c>
      <c r="G17" s="5" t="s">
        <v>58</v>
      </c>
    </row>
    <row r="18" spans="1:7" x14ac:dyDescent="0.3">
      <c r="A18" s="3" t="s">
        <v>59</v>
      </c>
      <c r="B18" s="3"/>
      <c r="C18" s="3">
        <v>1</v>
      </c>
      <c r="D18" s="3"/>
      <c r="E18" s="4">
        <v>10.99</v>
      </c>
      <c r="F18" s="4">
        <f t="shared" si="4"/>
        <v>10.99</v>
      </c>
      <c r="G18" s="5" t="s">
        <v>60</v>
      </c>
    </row>
    <row r="19" spans="1:7" x14ac:dyDescent="0.3">
      <c r="A19" s="3" t="s">
        <v>63</v>
      </c>
      <c r="B19" s="3"/>
      <c r="C19" s="3">
        <v>3</v>
      </c>
      <c r="D19" s="3" t="s">
        <v>64</v>
      </c>
      <c r="E19" s="4">
        <v>0.99</v>
      </c>
      <c r="F19" s="4">
        <f t="shared" ref="F19:F21" si="5">SUMPRODUCT(C19,E19)</f>
        <v>2.9699999999999998</v>
      </c>
      <c r="G19" s="5" t="s">
        <v>62</v>
      </c>
    </row>
    <row r="20" spans="1:7" x14ac:dyDescent="0.3">
      <c r="A20" s="3" t="s">
        <v>66</v>
      </c>
      <c r="B20" s="3"/>
      <c r="C20" s="3">
        <v>1</v>
      </c>
      <c r="D20" s="3"/>
      <c r="E20" s="4">
        <v>12.99</v>
      </c>
      <c r="F20" s="4">
        <f t="shared" si="5"/>
        <v>12.99</v>
      </c>
      <c r="G20" s="5" t="s">
        <v>65</v>
      </c>
    </row>
    <row r="21" spans="1:7" x14ac:dyDescent="0.3">
      <c r="A21" s="3" t="s">
        <v>69</v>
      </c>
      <c r="B21" s="3" t="s">
        <v>70</v>
      </c>
      <c r="C21" s="3">
        <v>25</v>
      </c>
      <c r="D21" s="3" t="s">
        <v>87</v>
      </c>
      <c r="E21" s="4">
        <v>8.8000000000000005E-3</v>
      </c>
      <c r="F21" s="4">
        <f t="shared" si="5"/>
        <v>0.22</v>
      </c>
      <c r="G21" s="5" t="s">
        <v>71</v>
      </c>
    </row>
    <row r="22" spans="1:7" x14ac:dyDescent="0.3">
      <c r="A22" s="3" t="s">
        <v>72</v>
      </c>
      <c r="B22" s="3" t="s">
        <v>70</v>
      </c>
      <c r="C22" s="3">
        <v>25</v>
      </c>
      <c r="D22" s="3" t="s">
        <v>88</v>
      </c>
      <c r="E22" s="4">
        <v>1.8800000000000001E-2</v>
      </c>
      <c r="F22" s="4">
        <f t="shared" ref="F22:F23" si="6">SUMPRODUCT(C22,E22)</f>
        <v>0.47000000000000003</v>
      </c>
      <c r="G22" s="5" t="s">
        <v>77</v>
      </c>
    </row>
    <row r="23" spans="1:7" x14ac:dyDescent="0.3">
      <c r="A23" s="3" t="s">
        <v>73</v>
      </c>
      <c r="B23" s="3" t="s">
        <v>79</v>
      </c>
      <c r="C23" s="3">
        <v>25</v>
      </c>
      <c r="D23" s="3" t="s">
        <v>89</v>
      </c>
      <c r="E23" s="4">
        <v>2.7E-2</v>
      </c>
      <c r="F23" s="4">
        <f t="shared" si="6"/>
        <v>0.67500000000000004</v>
      </c>
      <c r="G23" s="5" t="s">
        <v>78</v>
      </c>
    </row>
    <row r="24" spans="1:7" x14ac:dyDescent="0.3">
      <c r="A24" s="3" t="s">
        <v>74</v>
      </c>
      <c r="B24" s="3" t="s">
        <v>81</v>
      </c>
      <c r="C24" s="3">
        <v>25</v>
      </c>
      <c r="D24" s="3" t="s">
        <v>90</v>
      </c>
      <c r="E24" s="4">
        <v>2.4E-2</v>
      </c>
      <c r="F24" s="4">
        <f t="shared" ref="F24:F27" si="7">SUMPRODUCT(C24,E24)</f>
        <v>0.6</v>
      </c>
      <c r="G24" s="5" t="s">
        <v>80</v>
      </c>
    </row>
    <row r="25" spans="1:7" x14ac:dyDescent="0.3">
      <c r="A25" s="3" t="s">
        <v>75</v>
      </c>
      <c r="B25" s="3" t="s">
        <v>70</v>
      </c>
      <c r="C25" s="3">
        <v>10</v>
      </c>
      <c r="D25" s="3" t="s">
        <v>91</v>
      </c>
      <c r="E25" s="4">
        <v>2.5000000000000001E-2</v>
      </c>
      <c r="F25" s="4">
        <f t="shared" si="7"/>
        <v>0.25</v>
      </c>
      <c r="G25" s="5" t="s">
        <v>82</v>
      </c>
    </row>
    <row r="26" spans="1:7" x14ac:dyDescent="0.3">
      <c r="A26" s="3" t="s">
        <v>76</v>
      </c>
      <c r="B26" s="3" t="s">
        <v>70</v>
      </c>
      <c r="C26" s="3">
        <v>10</v>
      </c>
      <c r="D26" s="3" t="s">
        <v>92</v>
      </c>
      <c r="E26" s="4">
        <v>2.1000000000000001E-2</v>
      </c>
      <c r="F26" s="4">
        <f t="shared" si="7"/>
        <v>0.21000000000000002</v>
      </c>
      <c r="G26" s="5" t="s">
        <v>83</v>
      </c>
    </row>
    <row r="27" spans="1:7" x14ac:dyDescent="0.3">
      <c r="A27" s="3" t="s">
        <v>84</v>
      </c>
      <c r="B27" s="3" t="s">
        <v>85</v>
      </c>
      <c r="C27" s="3">
        <v>25</v>
      </c>
      <c r="D27" s="3" t="s">
        <v>93</v>
      </c>
      <c r="E27" s="4">
        <v>2.5600000000000001E-2</v>
      </c>
      <c r="F27" s="4">
        <f t="shared" si="7"/>
        <v>0.64</v>
      </c>
      <c r="G27" s="5" t="s">
        <v>86</v>
      </c>
    </row>
  </sheetData>
  <hyperlinks>
    <hyperlink ref="G2" r:id="rId1" xr:uid="{5E84A0FC-49DB-4D64-BF49-D4803CE63D5D}"/>
    <hyperlink ref="G3" r:id="rId2" xr:uid="{E19C7FD9-934D-4B45-8C77-4AD1CBCFEE7C}"/>
    <hyperlink ref="G5" r:id="rId3" xr:uid="{CF26EB67-2342-4751-B075-FEDE57F9D7B5}"/>
    <hyperlink ref="G6" r:id="rId4" xr:uid="{2EA7F41E-FCCE-4932-A5D4-717717E79170}"/>
    <hyperlink ref="G8" r:id="rId5" xr:uid="{B5E90486-BBE6-4DA1-B381-141360BB3C83}"/>
    <hyperlink ref="G7" r:id="rId6" xr:uid="{97419E42-2358-4B77-8E2F-5BAF1B33AE8E}"/>
    <hyperlink ref="G9" r:id="rId7" xr:uid="{77A5450F-40A8-447B-BCE4-1830C0F59A2A}"/>
    <hyperlink ref="G10" r:id="rId8" xr:uid="{0E13EC3C-3D0E-4F0B-BAE2-16DAC686546E}"/>
    <hyperlink ref="G11" r:id="rId9" xr:uid="{5FF4BC37-27E1-4F94-8FBD-07E1A4589D55}"/>
    <hyperlink ref="G12" r:id="rId10" xr:uid="{60CDB149-D037-493C-84AE-E67202F44CFA}"/>
    <hyperlink ref="G15" r:id="rId11" xr:uid="{EF803502-7849-45D8-9996-8BF014BE518F}"/>
    <hyperlink ref="G13" r:id="rId12" xr:uid="{17E957BF-5268-47FD-9D76-8E0138F62ABC}"/>
    <hyperlink ref="G16" r:id="rId13" xr:uid="{AEB340F9-BBB5-419F-BFD0-9C23D70AFD37}"/>
    <hyperlink ref="G17" r:id="rId14" xr:uid="{A4E439ED-260D-4662-BB4B-C3992756D874}"/>
    <hyperlink ref="G18" r:id="rId15" xr:uid="{8ABA69A9-7188-4C86-8F79-1D941099516C}"/>
    <hyperlink ref="G19" r:id="rId16" xr:uid="{7BF17D52-DA84-45FF-9D78-C25F78E8765C}"/>
    <hyperlink ref="G20" r:id="rId17" xr:uid="{5284E173-E8FE-4871-A574-90ACD45E9C09}"/>
    <hyperlink ref="G4" r:id="rId18" xr:uid="{64AD427F-4970-4393-A0B2-4DC0548706C8}"/>
    <hyperlink ref="G21" r:id="rId19" xr:uid="{A680C455-9099-4CEB-8CDA-563BC717507F}"/>
    <hyperlink ref="G22" r:id="rId20" xr:uid="{6D9684C8-ED8A-418C-A8D8-91CF288856DB}"/>
    <hyperlink ref="G23" r:id="rId21" xr:uid="{D25146A8-C02C-46C2-92F9-853ADF83018F}"/>
    <hyperlink ref="G24" r:id="rId22" xr:uid="{6E0DCAB3-002D-48D0-A008-709FF3D5E109}"/>
    <hyperlink ref="G25" r:id="rId23" xr:uid="{0593E4F6-9796-4186-97BD-B74692229115}"/>
    <hyperlink ref="G26" r:id="rId24" xr:uid="{16C42355-26F7-4E84-87EC-7487F204E152}"/>
    <hyperlink ref="G27" r:id="rId25" xr:uid="{5012F7F4-7FB9-4132-BE15-5E239C55790A}"/>
    <hyperlink ref="G14" r:id="rId26" xr:uid="{DA4E9C97-3222-44A8-9CD4-B5DC9101ECE7}"/>
  </hyperlinks>
  <pageMargins left="0.7" right="0.7" top="0.75" bottom="0.75" header="0.3" footer="0.3"/>
  <pageSetup orientation="portrait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ED2F-6AEC-4283-8551-7F4A39EA8B52}">
  <dimension ref="A1:J9"/>
  <sheetViews>
    <sheetView tabSelected="1" workbookViewId="0">
      <selection activeCell="J10" sqref="J10"/>
    </sheetView>
  </sheetViews>
  <sheetFormatPr defaultRowHeight="14.4" x14ac:dyDescent="0.3"/>
  <cols>
    <col min="1" max="1" width="8.21875" bestFit="1" customWidth="1"/>
    <col min="2" max="2" width="12.88671875" bestFit="1" customWidth="1"/>
    <col min="3" max="3" width="12.109375" bestFit="1" customWidth="1"/>
    <col min="4" max="4" width="10.33203125" customWidth="1"/>
    <col min="5" max="5" width="9.77734375" bestFit="1" customWidth="1"/>
    <col min="6" max="6" width="15.33203125" bestFit="1" customWidth="1"/>
    <col min="7" max="7" width="8.88671875" bestFit="1" customWidth="1"/>
    <col min="8" max="8" width="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J1" s="6" t="s">
        <v>96</v>
      </c>
    </row>
    <row r="2" spans="1:10" x14ac:dyDescent="0.3">
      <c r="G2" t="e">
        <f t="shared" ref="G2:G9" si="0">SUMPRODUCT(D2,F2)</f>
        <v>#VALUE!</v>
      </c>
      <c r="J2" s="7" t="e">
        <f>SUM(G:G)</f>
        <v>#VALUE!</v>
      </c>
    </row>
    <row r="3" spans="1:10" x14ac:dyDescent="0.3">
      <c r="G3" t="e">
        <f t="shared" si="0"/>
        <v>#VALUE!</v>
      </c>
    </row>
    <row r="4" spans="1:10" x14ac:dyDescent="0.3">
      <c r="G4" t="e">
        <f t="shared" si="0"/>
        <v>#VALUE!</v>
      </c>
    </row>
    <row r="5" spans="1:10" x14ac:dyDescent="0.3">
      <c r="G5" t="e">
        <f t="shared" si="0"/>
        <v>#VALUE!</v>
      </c>
    </row>
    <row r="6" spans="1:10" x14ac:dyDescent="0.3">
      <c r="G6" t="e">
        <f t="shared" si="0"/>
        <v>#VALUE!</v>
      </c>
    </row>
    <row r="7" spans="1:10" x14ac:dyDescent="0.3">
      <c r="G7" t="e">
        <f t="shared" si="0"/>
        <v>#VALUE!</v>
      </c>
    </row>
    <row r="8" spans="1:10" x14ac:dyDescent="0.3">
      <c r="G8" t="e">
        <f t="shared" si="0"/>
        <v>#VALUE!</v>
      </c>
    </row>
    <row r="9" spans="1:10" x14ac:dyDescent="0.3">
      <c r="G9" t="e">
        <f t="shared" si="0"/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OrderingList</vt:lpstr>
      <vt:lpstr>PartsList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Sergakis, Kosta</dc:creator>
  <cp:lastModifiedBy>Sergakis, Kosta</cp:lastModifiedBy>
  <dcterms:created xsi:type="dcterms:W3CDTF">2026-06-22T00:36:02Z</dcterms:created>
  <dcterms:modified xsi:type="dcterms:W3CDTF">2026-06-29T01:34:17Z</dcterms:modified>
</cp:coreProperties>
</file>